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faalso\Desktop\Product_Data_Quality_Manager\"/>
    </mc:Choice>
  </mc:AlternateContent>
  <xr:revisionPtr revIDLastSave="0" documentId="13_ncr:1_{1E96D008-D483-4163-948E-A38D24441E71}" xr6:coauthVersionLast="47" xr6:coauthVersionMax="47" xr10:uidLastSave="{00000000-0000-0000-0000-000000000000}"/>
  <bookViews>
    <workbookView xWindow="-120" yWindow="-120" windowWidth="29040" windowHeight="15720" xr2:uid="{EF6B1ACC-667F-4F94-A80F-382C99816EC7}"/>
  </bookViews>
  <sheets>
    <sheet name="Product Master Data" sheetId="1" r:id="rId1"/>
    <sheet name="Dashboard" sheetId="2" r:id="rId2"/>
    <sheet name="Test Lo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2" l="1"/>
  <c r="B15" i="2"/>
  <c r="B14" i="2"/>
  <c r="B13" i="2"/>
  <c r="B12" i="2"/>
  <c r="B11" i="2"/>
  <c r="B10" i="2"/>
  <c r="B1" i="2"/>
  <c r="H3" i="1"/>
  <c r="H4" i="1"/>
  <c r="H5" i="1"/>
  <c r="H6" i="1"/>
  <c r="H7" i="1"/>
  <c r="H8" i="1"/>
  <c r="H9" i="1"/>
  <c r="H10" i="1"/>
  <c r="H11" i="1"/>
  <c r="H2" i="1"/>
  <c r="B2" i="2" l="1"/>
  <c r="E2" i="2" s="1"/>
  <c r="B3" i="2"/>
  <c r="E3" i="2" s="1"/>
  <c r="B4" i="2" l="1"/>
</calcChain>
</file>

<file path=xl/sharedStrings.xml><?xml version="1.0" encoding="utf-8"?>
<sst xmlns="http://schemas.openxmlformats.org/spreadsheetml/2006/main" count="101" uniqueCount="81">
  <si>
    <t>Product ID</t>
  </si>
  <si>
    <t>Product Name</t>
  </si>
  <si>
    <t>Pump Head</t>
  </si>
  <si>
    <t>Flow Rate (m3\h)</t>
  </si>
  <si>
    <t>Power(kW)</t>
  </si>
  <si>
    <t>Efficiency(%)</t>
  </si>
  <si>
    <t>P001</t>
  </si>
  <si>
    <t>Centrifugal</t>
  </si>
  <si>
    <t>P002</t>
  </si>
  <si>
    <t>P003</t>
  </si>
  <si>
    <t>Circulator</t>
  </si>
  <si>
    <t>0.75</t>
  </si>
  <si>
    <t>P004</t>
  </si>
  <si>
    <t>P005</t>
  </si>
  <si>
    <t>0.5</t>
  </si>
  <si>
    <t>P006</t>
  </si>
  <si>
    <t>P007</t>
  </si>
  <si>
    <t>P008</t>
  </si>
  <si>
    <t>0.6</t>
  </si>
  <si>
    <t>P009</t>
  </si>
  <si>
    <t>P010</t>
  </si>
  <si>
    <t>0.9</t>
  </si>
  <si>
    <t>Pump Type</t>
  </si>
  <si>
    <t>Pump Alphs</t>
  </si>
  <si>
    <t>Pump Beta</t>
  </si>
  <si>
    <t>Pump Gamma</t>
  </si>
  <si>
    <t>Pump Delta</t>
  </si>
  <si>
    <t>Pump Epsilon</t>
  </si>
  <si>
    <t>Pump Zeta</t>
  </si>
  <si>
    <t>Pump Eta</t>
  </si>
  <si>
    <t>Pump Theta</t>
  </si>
  <si>
    <t>Pump Lota</t>
  </si>
  <si>
    <t>Pump Kappa</t>
  </si>
  <si>
    <t>1.1</t>
  </si>
  <si>
    <t>2.2</t>
  </si>
  <si>
    <t>1.5</t>
  </si>
  <si>
    <t>1.2</t>
  </si>
  <si>
    <t>1.8</t>
  </si>
  <si>
    <t>Data Quality Status</t>
  </si>
  <si>
    <t>Total Products</t>
  </si>
  <si>
    <t>Complete Products</t>
  </si>
  <si>
    <t>Product to Review</t>
  </si>
  <si>
    <t>Data Completness(%)</t>
  </si>
  <si>
    <t>PRODUCT DATA QUALITY DASHBOARD</t>
  </si>
  <si>
    <t>Status</t>
  </si>
  <si>
    <t>Number</t>
  </si>
  <si>
    <t>Complete</t>
  </si>
  <si>
    <t>Review</t>
  </si>
  <si>
    <t>Product ID Search</t>
  </si>
  <si>
    <t>Enter Product ID:</t>
  </si>
  <si>
    <t xml:space="preserve">Product Name: </t>
  </si>
  <si>
    <t xml:space="preserve">Pump Type: </t>
  </si>
  <si>
    <t>Power (kW)</t>
  </si>
  <si>
    <t>Efficiency (%)</t>
  </si>
  <si>
    <t xml:space="preserve">Pump Head(m): </t>
  </si>
  <si>
    <t>Flow Rate (m3/h):</t>
  </si>
  <si>
    <t>Overall Data Quality</t>
  </si>
  <si>
    <t>Test ID</t>
  </si>
  <si>
    <t>Test Description</t>
  </si>
  <si>
    <t>Expected Results</t>
  </si>
  <si>
    <t>Actual Results</t>
  </si>
  <si>
    <t>TC001</t>
  </si>
  <si>
    <t>Check product count</t>
  </si>
  <si>
    <t xml:space="preserve">Dashboard displays 10 products </t>
  </si>
  <si>
    <t>Passed</t>
  </si>
  <si>
    <t>TC002</t>
  </si>
  <si>
    <t>TC003</t>
  </si>
  <si>
    <t>TC004</t>
  </si>
  <si>
    <t>TC005</t>
  </si>
  <si>
    <t>TC006</t>
  </si>
  <si>
    <t>Missing Required value</t>
  </si>
  <si>
    <t>Duplicate Product ID</t>
  </si>
  <si>
    <t>Invalid Flow Rate</t>
  </si>
  <si>
    <t>Pump type dropdown</t>
  </si>
  <si>
    <t>Product ID search</t>
  </si>
  <si>
    <t>Status changed to Review</t>
  </si>
  <si>
    <t>Duplicate ID highlighted</t>
  </si>
  <si>
    <t>Invalied value rejected</t>
  </si>
  <si>
    <t>Only listed type avaliable</t>
  </si>
  <si>
    <t>Product details displayed</t>
  </si>
  <si>
    <t>Dropdown worked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</si>
</sst>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9" tint="-0.499984740745262"/>
      <name val="Aptos Narrow"/>
      <family val="2"/>
      <scheme val="minor"/>
    </font>
    <font>
      <b/>
      <sz val="11"/>
      <color theme="9" tint="-0.499984740745262"/>
      <name val="Aptos Narrow"/>
      <family val="2"/>
      <scheme val="minor"/>
    </font>
    <font>
      <b/>
      <sz val="16"/>
      <color theme="9" tint="-0.499984740745262"/>
      <name val="Aptos Narrow"/>
      <family val="2"/>
      <scheme val="minor"/>
    </font>
    <font>
      <i/>
      <sz val="11"/>
      <color theme="9" tint="-0.499984740745262"/>
      <name val="Aptos Narrow"/>
      <family val="2"/>
      <scheme val="minor"/>
    </font>
    <font>
      <b/>
      <sz val="14"/>
      <color theme="9" tint="-0.499984740745262"/>
      <name val="Aptos Narrow"/>
      <family val="2"/>
      <scheme val="minor"/>
    </font>
    <font>
      <b/>
      <i/>
      <sz val="12"/>
      <color theme="9" tint="-0.49998474074526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right"/>
    </xf>
    <xf numFmtId="0" fontId="3" fillId="0" borderId="0" xfId="0" applyFont="1"/>
    <xf numFmtId="0" fontId="4" fillId="0" borderId="0" xfId="0" applyFont="1"/>
    <xf numFmtId="9" fontId="4" fillId="0" borderId="0" xfId="1" applyFont="1"/>
    <xf numFmtId="0" fontId="5" fillId="0" borderId="0" xfId="0" applyFont="1"/>
    <xf numFmtId="0" fontId="0" fillId="0" borderId="0" xfId="0" applyAlignment="1">
      <alignment horizontal="left"/>
    </xf>
    <xf numFmtId="0" fontId="0" fillId="0" borderId="0" xfId="0" quotePrefix="1" applyNumberFormat="1" applyAlignment="1">
      <alignment horizontal="left"/>
    </xf>
    <xf numFmtId="0" fontId="0" fillId="0" borderId="0" xfId="0" quotePrefix="1" applyAlignment="1">
      <alignment horizontal="left"/>
    </xf>
    <xf numFmtId="16" fontId="0" fillId="0" borderId="0" xfId="0" quotePrefix="1" applyNumberForma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8" fillId="0" borderId="0" xfId="0" applyFont="1"/>
  </cellXfs>
  <cellStyles count="2">
    <cellStyle name="Prozent" xfId="1" builtinId="5"/>
    <cellStyle name="Standard" xfId="0" builtinId="0"/>
  </cellStyles>
  <dxfs count="2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Data Quality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Dashboard!$E$1</c:f>
              <c:strCache>
                <c:ptCount val="1"/>
                <c:pt idx="0">
                  <c:v>Number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shade val="76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12700" cap="flat" cmpd="sng" algn="ctr">
                <a:solidFill>
                  <a:schemeClr val="accent2"/>
                </a:solidFill>
                <a:prstDash val="solid"/>
                <a:miter lim="800000"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563-4F8D-AFD6-66F0FF4E43B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Dashboard!$D$2:$D$3</c:f>
              <c:strCache>
                <c:ptCount val="2"/>
                <c:pt idx="0">
                  <c:v>Complete</c:v>
                </c:pt>
                <c:pt idx="1">
                  <c:v>Review</c:v>
                </c:pt>
              </c:strCache>
            </c:strRef>
          </c:cat>
          <c:val>
            <c:numRef>
              <c:f>Dashboard!$E$2:$E$3</c:f>
              <c:numCache>
                <c:formatCode>General</c:formatCode>
                <c:ptCount val="2"/>
                <c:pt idx="0">
                  <c:v>10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63-4F8D-AFD6-66F0FF4E43BA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761999</xdr:colOff>
      <xdr:row>3</xdr:row>
      <xdr:rowOff>185736</xdr:rowOff>
    </xdr:from>
    <xdr:to>
      <xdr:col>7</xdr:col>
      <xdr:colOff>752474</xdr:colOff>
      <xdr:row>16</xdr:row>
      <xdr:rowOff>9525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2309BC17-6B17-C5C1-E482-A3BDB2B74B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CF0378-3DF9-4349-9947-AC8498B4EEBD}" name="Tabelle1" displayName="Tabelle1" ref="A1:H11" totalsRowShown="0" headerRowDxfId="7" dataDxfId="6">
  <autoFilter ref="A1:H11" xr:uid="{F0CF0378-3DF9-4349-9947-AC8498B4EEBD}"/>
  <tableColumns count="8">
    <tableColumn id="1" xr3:uid="{B8681615-D4B2-40E3-919C-3DC3A5BB9DC3}" name="Product ID" dataDxfId="15"/>
    <tableColumn id="2" xr3:uid="{DA40833C-FD3F-4BB8-879C-6B1129677324}" name="Product Name" dataDxfId="14"/>
    <tableColumn id="3" xr3:uid="{5F685E6B-8D6C-43EB-810B-7F47B05F78A2}" name="Pump Type" dataDxfId="13"/>
    <tableColumn id="4" xr3:uid="{67678A7D-AD5B-47B7-95D3-114D01F4F0D7}" name="Flow Rate (m3\h)" dataDxfId="12"/>
    <tableColumn id="5" xr3:uid="{A809098E-A49B-4150-84AA-F05019EF04A3}" name="Pump Head" dataDxfId="11"/>
    <tableColumn id="6" xr3:uid="{C209E01E-4415-4CED-9477-95C21F36217F}" name="Power(kW)" dataDxfId="10"/>
    <tableColumn id="7" xr3:uid="{C75FD1A4-237F-47EC-BC12-39285DBBD9A3}" name="Efficiency(%)" dataDxfId="9"/>
    <tableColumn id="8" xr3:uid="{04B525AA-EE63-4329-9367-9AC0925206FE}" name="Data Quality Status" dataDxfId="8">
      <calculatedColumnFormula>IF(COUNTBLANK(A2:G2)&gt;0,"Review","Complete")</calculatedColumnFormula>
    </tableColumn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5A7A26-5741-4649-A81B-D1DE8499517C}" name="Tabelle2" displayName="Tabelle2" ref="A1:E7" totalsRowShown="0">
  <autoFilter ref="A1:E7" xr:uid="{3A5A7A26-5741-4649-A81B-D1DE8499517C}"/>
  <tableColumns count="5">
    <tableColumn id="1" xr3:uid="{A786A690-A3DC-4CF9-8578-356DD7FF62F3}" name="Test ID"/>
    <tableColumn id="2" xr3:uid="{7D9FD089-306A-41D1-826F-F431E0D3C4E8}" name="Test Description"/>
    <tableColumn id="3" xr3:uid="{C5D63A6E-0A88-4A7B-AF5F-FF2596E85713}" name="Expected Results"/>
    <tableColumn id="4" xr3:uid="{2E24E31A-C169-4BF6-8D57-BF2B0022E969}" name="Actual Results"/>
    <tableColumn id="5" xr3:uid="{12CD4B7F-45D7-4360-A2BB-617C9B7CD8ED}" name="Status"/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266C8-AB4F-49B8-A712-85C5E217230A}">
  <dimension ref="A1:I13"/>
  <sheetViews>
    <sheetView tabSelected="1" zoomScale="106" zoomScaleNormal="106" workbookViewId="0">
      <selection activeCell="E1" sqref="E1"/>
    </sheetView>
  </sheetViews>
  <sheetFormatPr baseColWidth="10" defaultRowHeight="15" x14ac:dyDescent="0.25"/>
  <cols>
    <col min="1" max="1" width="12.7109375" bestFit="1" customWidth="1"/>
    <col min="2" max="2" width="16" bestFit="1" customWidth="1"/>
    <col min="3" max="3" width="13.140625" bestFit="1" customWidth="1"/>
    <col min="4" max="4" width="18.5703125" bestFit="1" customWidth="1"/>
    <col min="5" max="5" width="13.5703125" bestFit="1" customWidth="1"/>
    <col min="6" max="6" width="13.140625" bestFit="1" customWidth="1"/>
    <col min="7" max="7" width="15.28515625" bestFit="1" customWidth="1"/>
    <col min="8" max="8" width="20.5703125" bestFit="1" customWidth="1"/>
  </cols>
  <sheetData>
    <row r="1" spans="1:9" x14ac:dyDescent="0.25">
      <c r="A1" s="6" t="s">
        <v>0</v>
      </c>
      <c r="B1" s="6" t="s">
        <v>1</v>
      </c>
      <c r="C1" s="6" t="s">
        <v>22</v>
      </c>
      <c r="D1" s="6" t="s">
        <v>3</v>
      </c>
      <c r="E1" s="6" t="s">
        <v>2</v>
      </c>
      <c r="F1" s="6" t="s">
        <v>4</v>
      </c>
      <c r="G1" s="6" t="s">
        <v>5</v>
      </c>
      <c r="H1" s="6" t="s">
        <v>38</v>
      </c>
      <c r="I1" s="6"/>
    </row>
    <row r="2" spans="1:9" x14ac:dyDescent="0.25">
      <c r="A2" s="6" t="s">
        <v>6</v>
      </c>
      <c r="B2" s="6" t="s">
        <v>23</v>
      </c>
      <c r="C2" s="6" t="s">
        <v>7</v>
      </c>
      <c r="D2" s="6">
        <v>10</v>
      </c>
      <c r="E2" s="6">
        <v>15</v>
      </c>
      <c r="F2" s="7" t="s">
        <v>33</v>
      </c>
      <c r="G2" s="6">
        <v>72</v>
      </c>
      <c r="H2" s="6" t="str">
        <f t="shared" ref="H2:H11" si="0">IF(COUNTBLANK(A2:G2)&gt;0,"Review","Complete")</f>
        <v>Complete</v>
      </c>
      <c r="I2" s="6"/>
    </row>
    <row r="3" spans="1:9" x14ac:dyDescent="0.25">
      <c r="A3" s="6" t="s">
        <v>8</v>
      </c>
      <c r="B3" s="6" t="s">
        <v>24</v>
      </c>
      <c r="C3" s="6" t="s">
        <v>7</v>
      </c>
      <c r="D3" s="6">
        <v>20</v>
      </c>
      <c r="E3" s="6">
        <v>25</v>
      </c>
      <c r="F3" s="8" t="s">
        <v>34</v>
      </c>
      <c r="G3" s="6">
        <v>80</v>
      </c>
      <c r="H3" s="6" t="str">
        <f t="shared" si="0"/>
        <v>Complete</v>
      </c>
      <c r="I3" s="6"/>
    </row>
    <row r="4" spans="1:9" x14ac:dyDescent="0.25">
      <c r="A4" s="6" t="s">
        <v>9</v>
      </c>
      <c r="B4" s="6" t="s">
        <v>25</v>
      </c>
      <c r="C4" s="6" t="s">
        <v>10</v>
      </c>
      <c r="D4" s="6">
        <v>8</v>
      </c>
      <c r="E4" s="6">
        <v>12</v>
      </c>
      <c r="F4" s="6" t="s">
        <v>11</v>
      </c>
      <c r="G4" s="6">
        <v>75</v>
      </c>
      <c r="H4" s="6" t="str">
        <f t="shared" si="0"/>
        <v>Complete</v>
      </c>
      <c r="I4" s="6"/>
    </row>
    <row r="5" spans="1:9" x14ac:dyDescent="0.25">
      <c r="A5" s="6" t="s">
        <v>12</v>
      </c>
      <c r="B5" s="6" t="s">
        <v>26</v>
      </c>
      <c r="C5" s="6" t="s">
        <v>7</v>
      </c>
      <c r="D5" s="6">
        <v>15</v>
      </c>
      <c r="E5" s="6">
        <v>20</v>
      </c>
      <c r="F5" s="8" t="s">
        <v>35</v>
      </c>
      <c r="G5" s="6">
        <v>78</v>
      </c>
      <c r="H5" s="6" t="str">
        <f t="shared" si="0"/>
        <v>Complete</v>
      </c>
      <c r="I5" s="6"/>
    </row>
    <row r="6" spans="1:9" x14ac:dyDescent="0.25">
      <c r="A6" s="6" t="s">
        <v>13</v>
      </c>
      <c r="B6" s="6" t="s">
        <v>27</v>
      </c>
      <c r="C6" s="6" t="s">
        <v>10</v>
      </c>
      <c r="D6" s="6">
        <v>5</v>
      </c>
      <c r="E6" s="6">
        <v>8</v>
      </c>
      <c r="F6" s="6" t="s">
        <v>14</v>
      </c>
      <c r="G6" s="6">
        <v>70</v>
      </c>
      <c r="H6" s="6" t="str">
        <f t="shared" si="0"/>
        <v>Complete</v>
      </c>
      <c r="I6" s="6"/>
    </row>
    <row r="7" spans="1:9" x14ac:dyDescent="0.25">
      <c r="A7" s="6" t="s">
        <v>15</v>
      </c>
      <c r="B7" s="6" t="s">
        <v>28</v>
      </c>
      <c r="C7" s="6" t="s">
        <v>7</v>
      </c>
      <c r="D7" s="6">
        <v>25</v>
      </c>
      <c r="E7" s="6">
        <v>30</v>
      </c>
      <c r="F7" s="6">
        <v>3</v>
      </c>
      <c r="G7" s="6">
        <v>85</v>
      </c>
      <c r="H7" s="6" t="str">
        <f t="shared" si="0"/>
        <v>Complete</v>
      </c>
      <c r="I7" s="6"/>
    </row>
    <row r="8" spans="1:9" x14ac:dyDescent="0.25">
      <c r="A8" s="6" t="s">
        <v>16</v>
      </c>
      <c r="B8" s="6" t="s">
        <v>29</v>
      </c>
      <c r="C8" s="6" t="s">
        <v>7</v>
      </c>
      <c r="D8" s="6">
        <v>12</v>
      </c>
      <c r="E8" s="6">
        <v>18</v>
      </c>
      <c r="F8" s="8" t="s">
        <v>36</v>
      </c>
      <c r="G8" s="6">
        <v>76</v>
      </c>
      <c r="H8" s="6" t="str">
        <f t="shared" si="0"/>
        <v>Complete</v>
      </c>
      <c r="I8" s="6"/>
    </row>
    <row r="9" spans="1:9" x14ac:dyDescent="0.25">
      <c r="A9" s="6" t="s">
        <v>17</v>
      </c>
      <c r="B9" s="6" t="s">
        <v>30</v>
      </c>
      <c r="C9" s="6" t="s">
        <v>10</v>
      </c>
      <c r="D9" s="6">
        <v>6</v>
      </c>
      <c r="E9" s="6">
        <v>10</v>
      </c>
      <c r="F9" s="6" t="s">
        <v>18</v>
      </c>
      <c r="G9" s="6">
        <v>73</v>
      </c>
      <c r="H9" s="6" t="str">
        <f t="shared" si="0"/>
        <v>Complete</v>
      </c>
      <c r="I9" s="6"/>
    </row>
    <row r="10" spans="1:9" x14ac:dyDescent="0.25">
      <c r="A10" s="6" t="s">
        <v>19</v>
      </c>
      <c r="B10" s="6" t="s">
        <v>31</v>
      </c>
      <c r="C10" s="6" t="s">
        <v>7</v>
      </c>
      <c r="D10" s="6">
        <v>18</v>
      </c>
      <c r="E10" s="6">
        <v>22</v>
      </c>
      <c r="F10" s="9" t="s">
        <v>37</v>
      </c>
      <c r="G10" s="6">
        <v>79</v>
      </c>
      <c r="H10" s="6" t="str">
        <f t="shared" si="0"/>
        <v>Complete</v>
      </c>
      <c r="I10" s="6"/>
    </row>
    <row r="11" spans="1:9" x14ac:dyDescent="0.25">
      <c r="A11" s="6" t="s">
        <v>20</v>
      </c>
      <c r="B11" s="6" t="s">
        <v>32</v>
      </c>
      <c r="C11" s="6" t="s">
        <v>10</v>
      </c>
      <c r="D11" s="6">
        <v>9</v>
      </c>
      <c r="E11" s="6">
        <v>14</v>
      </c>
      <c r="F11" s="6" t="s">
        <v>21</v>
      </c>
      <c r="G11" s="6">
        <v>77</v>
      </c>
      <c r="H11" s="6" t="str">
        <f t="shared" si="0"/>
        <v>Complete</v>
      </c>
      <c r="I11" s="6"/>
    </row>
    <row r="12" spans="1:9" x14ac:dyDescent="0.25">
      <c r="A12" s="6"/>
      <c r="B12" s="6"/>
      <c r="C12" s="6"/>
      <c r="D12" s="6"/>
      <c r="E12" s="6"/>
      <c r="F12" s="6"/>
      <c r="G12" s="6"/>
      <c r="H12" s="6"/>
      <c r="I12" s="6"/>
    </row>
    <row r="13" spans="1:9" x14ac:dyDescent="0.25">
      <c r="A13" s="6"/>
      <c r="B13" s="6"/>
      <c r="C13" s="6"/>
      <c r="D13" s="6"/>
      <c r="E13" s="6"/>
      <c r="F13" s="6"/>
      <c r="G13" s="6"/>
      <c r="H13" s="6"/>
      <c r="I13" s="6"/>
    </row>
  </sheetData>
  <phoneticPr fontId="1" type="noConversion"/>
  <conditionalFormatting sqref="H2:H11">
    <cfRule type="containsText" dxfId="19" priority="3" operator="containsText" text="Review">
      <formula>NOT(ISERROR(SEARCH("Review",H2)))</formula>
    </cfRule>
  </conditionalFormatting>
  <conditionalFormatting sqref="A2:A11">
    <cfRule type="duplicateValues" dxfId="17" priority="2"/>
    <cfRule type="containsBlanks" priority="1">
      <formula>LEN(TRIM(A2))=0</formula>
    </cfRule>
  </conditionalFormatting>
  <dataValidations count="3">
    <dataValidation type="list" allowBlank="1" showInputMessage="1" showErrorMessage="1" sqref="C2:C11" xr:uid="{B3525FE4-F709-4614-A9FB-D6E0A77A735E}">
      <formula1>"Centrifugal,Circulator"</formula1>
    </dataValidation>
    <dataValidation type="decimal" operator="greaterThan" allowBlank="1" showInputMessage="1" showErrorMessage="1" errorTitle="Invalied Flow Rate" error="Please enter a flow rate greater then zeroo" sqref="D2:D11" xr:uid="{B1DCF21D-5645-4863-B59F-6B48C984E243}">
      <formula1>0</formula1>
    </dataValidation>
    <dataValidation type="decimal" allowBlank="1" showInputMessage="1" showErrorMessage="1" sqref="G2:G11" xr:uid="{76CD08D3-E844-4D10-9987-1B420F423ED9}">
      <formula1>0</formula1>
      <formula2>100</formula2>
    </dataValidation>
  </dataValidations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9D67A-4287-4C83-A4E4-3FE4BEA9A099}">
  <dimension ref="A1:E18"/>
  <sheetViews>
    <sheetView workbookViewId="0">
      <selection activeCell="B5" sqref="B5"/>
    </sheetView>
  </sheetViews>
  <sheetFormatPr baseColWidth="10" defaultRowHeight="15" x14ac:dyDescent="0.25"/>
  <cols>
    <col min="1" max="1" width="49.5703125" bestFit="1" customWidth="1"/>
    <col min="2" max="2" width="18.5703125" bestFit="1" customWidth="1"/>
  </cols>
  <sheetData>
    <row r="1" spans="1:5" x14ac:dyDescent="0.25">
      <c r="A1" s="2" t="s">
        <v>39</v>
      </c>
      <c r="B1" s="3">
        <f>COUNTA('Product Master Data'!A2:A1000)</f>
        <v>10</v>
      </c>
      <c r="D1" t="s">
        <v>44</v>
      </c>
      <c r="E1" t="s">
        <v>45</v>
      </c>
    </row>
    <row r="2" spans="1:5" x14ac:dyDescent="0.25">
      <c r="A2" s="2" t="s">
        <v>40</v>
      </c>
      <c r="B2" s="3">
        <f>COUNTIF('Product Master Data'!H2:H1000, "*Complete*")</f>
        <v>10</v>
      </c>
      <c r="D2" t="s">
        <v>46</v>
      </c>
      <c r="E2">
        <f>B2</f>
        <v>10</v>
      </c>
    </row>
    <row r="3" spans="1:5" x14ac:dyDescent="0.25">
      <c r="A3" s="2" t="s">
        <v>41</v>
      </c>
      <c r="B3" s="3">
        <f>COUNTIF('Product Master Data'!H2:H1000, "Review")</f>
        <v>0</v>
      </c>
      <c r="D3" t="s">
        <v>47</v>
      </c>
      <c r="E3">
        <f>B3</f>
        <v>0</v>
      </c>
    </row>
    <row r="4" spans="1:5" x14ac:dyDescent="0.25">
      <c r="A4" s="2" t="s">
        <v>42</v>
      </c>
      <c r="B4" s="4">
        <f>IF(B1=0,0,B2/B1)</f>
        <v>1</v>
      </c>
    </row>
    <row r="5" spans="1:5" x14ac:dyDescent="0.25">
      <c r="A5" s="2" t="s">
        <v>56</v>
      </c>
      <c r="B5" s="2" t="str">
        <f>IF(B1=0, "No data", IF(B3=0, "All products passed", "Attention required"))</f>
        <v>All products passed</v>
      </c>
    </row>
    <row r="6" spans="1:5" ht="21" x14ac:dyDescent="0.35">
      <c r="A6" s="5" t="s">
        <v>43</v>
      </c>
      <c r="B6" s="2"/>
    </row>
    <row r="8" spans="1:5" ht="18.75" x14ac:dyDescent="0.3">
      <c r="A8" s="12" t="s">
        <v>48</v>
      </c>
      <c r="B8" s="12"/>
    </row>
    <row r="9" spans="1:5" x14ac:dyDescent="0.25">
      <c r="A9" s="10" t="s">
        <v>49</v>
      </c>
      <c r="B9" s="11" t="s">
        <v>6</v>
      </c>
    </row>
    <row r="10" spans="1:5" ht="15.75" x14ac:dyDescent="0.25">
      <c r="A10" s="13" t="s">
        <v>50</v>
      </c>
      <c r="B10" s="11" t="str">
        <f>IF(B9="", "", IFERROR(VLOOKUP(B9, 'Product Master Data'!A:B, 2, FALSE), "Product not found"))</f>
        <v>Pump Alphs</v>
      </c>
    </row>
    <row r="11" spans="1:5" ht="15.75" x14ac:dyDescent="0.25">
      <c r="A11" s="13" t="s">
        <v>51</v>
      </c>
      <c r="B11" s="11" t="str">
        <f>IF(B9="", "", IFERROR(VLOOKUP(B9, 'Product Master Data'!A:C, 3, FALSE), "Product not found"))</f>
        <v>Centrifugal</v>
      </c>
    </row>
    <row r="12" spans="1:5" ht="15.75" x14ac:dyDescent="0.25">
      <c r="A12" s="13" t="s">
        <v>55</v>
      </c>
      <c r="B12" s="11">
        <f>IF(B9="", "", IFERROR(VLOOKUP(B9, 'Product Master Data'!A:D, 4, FALSE), "Product not found"))</f>
        <v>10</v>
      </c>
    </row>
    <row r="13" spans="1:5" ht="15.75" x14ac:dyDescent="0.25">
      <c r="A13" s="13" t="s">
        <v>54</v>
      </c>
      <c r="B13" s="11">
        <f>IF(B9="", "", IFERROR(VLOOKUP(B9, 'Product Master Data'!A:E, 5, FALSE), "Product not found"))</f>
        <v>15</v>
      </c>
    </row>
    <row r="14" spans="1:5" ht="15.75" x14ac:dyDescent="0.25">
      <c r="A14" s="13" t="s">
        <v>52</v>
      </c>
      <c r="B14" s="11" t="str">
        <f>IF(B9="", "", IFERROR(VLOOKUP(B9, 'Product Master Data'!A:F, 6, FALSE), "Product not found"))</f>
        <v>1.1</v>
      </c>
    </row>
    <row r="15" spans="1:5" ht="15.75" x14ac:dyDescent="0.25">
      <c r="A15" s="13" t="s">
        <v>53</v>
      </c>
      <c r="B15" s="11">
        <f>IF(B9="", "", IFERROR(VLOOKUP(B9, 'Product Master Data'!A:G, 7, FALSE), "Product not found"))</f>
        <v>72</v>
      </c>
    </row>
    <row r="16" spans="1:5" x14ac:dyDescent="0.25">
      <c r="B16" s="1"/>
    </row>
    <row r="17" spans="2:2" x14ac:dyDescent="0.25">
      <c r="B17" s="1"/>
    </row>
    <row r="18" spans="2:2" x14ac:dyDescent="0.25">
      <c r="B18" s="1"/>
    </row>
  </sheetData>
  <mergeCells count="1">
    <mergeCell ref="A8:B8"/>
  </mergeCells>
  <conditionalFormatting sqref="B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{48765864-C737-4A90-A3C8-86A341B11243}</x14:id>
        </ext>
      </extLst>
    </cfRule>
  </conditionalFormatting>
  <conditionalFormatting sqref="B5">
    <cfRule type="containsText" dxfId="3" priority="2" operator="containsText" text="All Products Passed">
      <formula>NOT(ISERROR(SEARCH("All Products Passed",B5)))</formula>
    </cfRule>
    <cfRule type="containsText" dxfId="4" priority="1" operator="containsText" text="Attention required">
      <formula>NOT(ISERROR(SEARCH("Attention required",B5)))</formula>
    </cfRule>
  </conditionalFormatting>
  <pageMargins left="0.7" right="0.7" top="0.78740157499999996" bottom="0.78740157499999996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8765864-C737-4A90-A3C8-86A341B112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D5FEC32-2DD6-4E44-9341-67DC72139656}">
          <x14:formula1>
            <xm:f>'Product Master Data'!A2:A11</xm:f>
          </x14:formula1>
          <xm:sqref>B9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F4730-5BC3-4BC8-80A4-76035989603E}">
  <dimension ref="A1:E7"/>
  <sheetViews>
    <sheetView workbookViewId="0">
      <selection activeCell="B11" sqref="B11"/>
    </sheetView>
  </sheetViews>
  <sheetFormatPr baseColWidth="10" defaultRowHeight="15" x14ac:dyDescent="0.25"/>
  <cols>
    <col min="2" max="2" width="21.5703125" bestFit="1" customWidth="1"/>
    <col min="3" max="4" width="30.28515625" bestFit="1" customWidth="1"/>
  </cols>
  <sheetData>
    <row r="1" spans="1:5" x14ac:dyDescent="0.25">
      <c r="A1" t="s">
        <v>57</v>
      </c>
      <c r="B1" t="s">
        <v>58</v>
      </c>
      <c r="C1" t="s">
        <v>59</v>
      </c>
      <c r="D1" t="s">
        <v>60</v>
      </c>
      <c r="E1" t="s">
        <v>44</v>
      </c>
    </row>
    <row r="2" spans="1:5" x14ac:dyDescent="0.25">
      <c r="A2" t="s">
        <v>61</v>
      </c>
      <c r="B2" t="s">
        <v>62</v>
      </c>
      <c r="C2" t="s">
        <v>63</v>
      </c>
      <c r="D2" t="s">
        <v>63</v>
      </c>
      <c r="E2" t="s">
        <v>64</v>
      </c>
    </row>
    <row r="3" spans="1:5" x14ac:dyDescent="0.25">
      <c r="A3" t="s">
        <v>65</v>
      </c>
      <c r="B3" t="s">
        <v>70</v>
      </c>
      <c r="C3" t="s">
        <v>75</v>
      </c>
      <c r="D3" t="s">
        <v>75</v>
      </c>
      <c r="E3" t="s">
        <v>64</v>
      </c>
    </row>
    <row r="4" spans="1:5" x14ac:dyDescent="0.25">
      <c r="A4" t="s">
        <v>66</v>
      </c>
      <c r="B4" t="s">
        <v>71</v>
      </c>
      <c r="C4" t="s">
        <v>76</v>
      </c>
      <c r="D4" t="s">
        <v>76</v>
      </c>
      <c r="E4" t="s">
        <v>64</v>
      </c>
    </row>
    <row r="5" spans="1:5" x14ac:dyDescent="0.25">
      <c r="A5" t="s">
        <v>67</v>
      </c>
      <c r="B5" t="s">
        <v>72</v>
      </c>
      <c r="C5" t="s">
        <v>77</v>
      </c>
      <c r="D5" t="s">
        <v>77</v>
      </c>
      <c r="E5" t="s">
        <v>64</v>
      </c>
    </row>
    <row r="6" spans="1:5" x14ac:dyDescent="0.25">
      <c r="A6" t="s">
        <v>68</v>
      </c>
      <c r="B6" t="s">
        <v>73</v>
      </c>
      <c r="C6" t="s">
        <v>78</v>
      </c>
      <c r="D6" t="s">
        <v>80</v>
      </c>
      <c r="E6" t="s">
        <v>64</v>
      </c>
    </row>
    <row r="7" spans="1:5" x14ac:dyDescent="0.25">
      <c r="A7" t="s">
        <v>69</v>
      </c>
      <c r="B7" t="s">
        <v>74</v>
      </c>
      <c r="C7" t="s">
        <v>79</v>
      </c>
      <c r="D7" t="s">
        <v>79</v>
      </c>
      <c r="E7" t="s">
        <v>64</v>
      </c>
    </row>
  </sheetData>
  <phoneticPr fontId="1" type="noConversion"/>
  <conditionalFormatting sqref="E2:E100">
    <cfRule type="containsText" dxfId="0" priority="2" operator="containsText" text="Passed">
      <formula>NOT(ISERROR(SEARCH("Passed",E2)))</formula>
    </cfRule>
    <cfRule type="containsText" dxfId="1" priority="1" operator="containsText" text="Failed">
      <formula>NOT(ISERROR(SEARCH("Failed",E2)))</formula>
    </cfRule>
  </conditionalFormatting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Product Master Data</vt:lpstr>
      <vt:lpstr>Dashboard</vt:lpstr>
      <vt:lpstr>Test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Alsomaili, Fatimah Najae M</dc:creator>
  <cp:lastModifiedBy>Alsomaili, Fatimah Najae M</cp:lastModifiedBy>
  <dcterms:created xsi:type="dcterms:W3CDTF">2026-10-25T11:24:01Z</dcterms:created>
  <dcterms:modified xsi:type="dcterms:W3CDTF">2026-10-28T12:31:20Z</dcterms:modified>
</cp:coreProperties>
</file>